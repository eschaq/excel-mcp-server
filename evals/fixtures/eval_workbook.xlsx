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Customers" sheetId="2" state="visible" r:id="rId2"/>
    <sheet name="Budget" sheetId="3" state="visible" r:id="rId3"/>
    <sheet name="Notes" sheetId="4" state="visible" r:id="rId4"/>
    <sheet name="Emp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Region</t>
        </is>
      </c>
      <c r="E1" s="1" t="inlineStr">
        <is>
          <t>Product</t>
        </is>
      </c>
      <c r="F1" s="1" t="inlineStr">
        <is>
          <t>Qty</t>
        </is>
      </c>
      <c r="G1" s="1" t="inlineStr">
        <is>
          <t>Unit Price</t>
        </is>
      </c>
      <c r="H1" s="1" t="inlineStr">
        <is>
          <t>Total</t>
        </is>
      </c>
    </row>
    <row r="2">
      <c r="A2" t="n">
        <v>1001</v>
      </c>
      <c r="B2" s="2" t="n">
        <v>46026</v>
      </c>
      <c r="C2" t="inlineStr">
        <is>
          <t>Acme Corp</t>
        </is>
      </c>
      <c r="D2" t="inlineStr">
        <is>
          <t>West</t>
        </is>
      </c>
      <c r="E2" t="inlineStr">
        <is>
          <t>Widget</t>
        </is>
      </c>
      <c r="F2" t="n">
        <v>12</v>
      </c>
      <c r="G2" t="n">
        <v>2.5</v>
      </c>
      <c r="H2">
        <f>F2*G2</f>
        <v/>
      </c>
    </row>
    <row r="3">
      <c r="A3" t="n">
        <v>1002</v>
      </c>
      <c r="B3" s="2" t="n">
        <v>46031</v>
      </c>
      <c r="C3" t="inlineStr">
        <is>
          <t>Globex</t>
        </is>
      </c>
      <c r="D3" t="inlineStr">
        <is>
          <t>East</t>
        </is>
      </c>
      <c r="E3" t="inlineStr">
        <is>
          <t>Gadget</t>
        </is>
      </c>
      <c r="F3" t="n">
        <v>4</v>
      </c>
      <c r="G3" t="n">
        <v>19.99</v>
      </c>
      <c r="H3">
        <f>F3*G3</f>
        <v/>
      </c>
    </row>
    <row r="4">
      <c r="A4" t="n">
        <v>1003</v>
      </c>
      <c r="B4" s="2" t="n">
        <v>46037</v>
      </c>
      <c r="C4" t="inlineStr">
        <is>
          <t>Initech</t>
        </is>
      </c>
      <c r="D4" t="inlineStr">
        <is>
          <t>North</t>
        </is>
      </c>
      <c r="E4" t="inlineStr">
        <is>
          <t>Gizmo</t>
        </is>
      </c>
      <c r="F4" t="n">
        <v>30</v>
      </c>
      <c r="G4" t="n">
        <v>7.25</v>
      </c>
      <c r="H4">
        <f>F4*G4</f>
        <v/>
      </c>
    </row>
    <row r="5">
      <c r="A5" t="n">
        <v>1004</v>
      </c>
      <c r="B5" s="2" t="n">
        <v>46044</v>
      </c>
      <c r="C5" t="inlineStr">
        <is>
          <t>Acme Corp</t>
        </is>
      </c>
      <c r="D5" t="inlineStr">
        <is>
          <t>West</t>
        </is>
      </c>
      <c r="E5" t="inlineStr">
        <is>
          <t>Gadget</t>
        </is>
      </c>
      <c r="F5" t="n">
        <v>8</v>
      </c>
      <c r="G5" t="n">
        <v>19.99</v>
      </c>
      <c r="H5">
        <f>F5*G5</f>
        <v/>
      </c>
    </row>
    <row r="6">
      <c r="A6" t="n">
        <v>1005</v>
      </c>
      <c r="B6" s="2" t="n">
        <v>46056</v>
      </c>
      <c r="C6" t="inlineStr">
        <is>
          <t>Umbrella</t>
        </is>
      </c>
      <c r="D6" t="inlineStr">
        <is>
          <t>South</t>
        </is>
      </c>
      <c r="E6" t="inlineStr">
        <is>
          <t>Widget</t>
        </is>
      </c>
      <c r="F6" t="n">
        <v>100</v>
      </c>
      <c r="G6" t="n">
        <v>2.5</v>
      </c>
      <c r="H6">
        <f>F6*G6</f>
        <v/>
      </c>
    </row>
    <row r="7">
      <c r="A7" t="n">
        <v>1006</v>
      </c>
      <c r="B7" s="2" t="n">
        <v>46064</v>
      </c>
      <c r="C7" t="inlineStr">
        <is>
          <t>Globex</t>
        </is>
      </c>
      <c r="D7" t="inlineStr">
        <is>
          <t>East</t>
        </is>
      </c>
      <c r="E7" t="inlineStr">
        <is>
          <t>Doohickey</t>
        </is>
      </c>
      <c r="F7" t="n">
        <v>6</v>
      </c>
      <c r="G7" t="n">
        <v>45</v>
      </c>
      <c r="H7">
        <f>F7*G7</f>
        <v/>
      </c>
    </row>
    <row r="8">
      <c r="A8" t="n">
        <v>1007</v>
      </c>
      <c r="B8" s="2" t="n">
        <v>46071</v>
      </c>
      <c r="C8" t="inlineStr">
        <is>
          <t>Hooli</t>
        </is>
      </c>
      <c r="D8" t="inlineStr">
        <is>
          <t>West</t>
        </is>
      </c>
      <c r="E8" t="inlineStr">
        <is>
          <t>Gizmo</t>
        </is>
      </c>
      <c r="G8" t="n">
        <v>7.25</v>
      </c>
      <c r="H8">
        <f>F8*G8</f>
        <v/>
      </c>
    </row>
    <row r="9">
      <c r="A9" t="n">
        <v>1008</v>
      </c>
      <c r="B9" s="2" t="n">
        <v>46080</v>
      </c>
      <c r="C9" t="inlineStr">
        <is>
          <t>Initech</t>
        </is>
      </c>
      <c r="D9" t="inlineStr">
        <is>
          <t>North</t>
        </is>
      </c>
      <c r="E9" t="inlineStr">
        <is>
          <t>Widget</t>
        </is>
      </c>
      <c r="F9" t="n">
        <v>55</v>
      </c>
      <c r="G9" t="n">
        <v>2.5</v>
      </c>
      <c r="H9">
        <f>F9*G9</f>
        <v/>
      </c>
    </row>
    <row r="10">
      <c r="A10" t="n">
        <v>1009</v>
      </c>
      <c r="B10" s="2" t="n">
        <v>46086</v>
      </c>
      <c r="C10" t="inlineStr">
        <is>
          <t>Acme Corp</t>
        </is>
      </c>
      <c r="D10" t="inlineStr">
        <is>
          <t>West</t>
        </is>
      </c>
      <c r="E10" t="inlineStr">
        <is>
          <t>Doohickey</t>
        </is>
      </c>
      <c r="F10" t="n">
        <v>3</v>
      </c>
      <c r="G10" t="n">
        <v>45</v>
      </c>
      <c r="H10">
        <f>F10*G10</f>
        <v/>
      </c>
    </row>
    <row r="11">
      <c r="A11" t="n">
        <v>1010</v>
      </c>
      <c r="B11" s="2" t="n">
        <v>46093</v>
      </c>
      <c r="C11" t="inlineStr">
        <is>
          <t>Stark Industries</t>
        </is>
      </c>
      <c r="D11" t="inlineStr">
        <is>
          <t>East</t>
        </is>
      </c>
      <c r="E11" t="inlineStr">
        <is>
          <t>Gadget</t>
        </is>
      </c>
      <c r="F11" t="n">
        <v>25</v>
      </c>
      <c r="G11" t="n">
        <v>19.99</v>
      </c>
      <c r="H11">
        <f>F11*G11</f>
        <v/>
      </c>
    </row>
    <row r="12">
      <c r="A12" t="n">
        <v>1011</v>
      </c>
      <c r="B12" s="2" t="n">
        <v>46100</v>
      </c>
      <c r="C12" t="inlineStr">
        <is>
          <t>Umbrella</t>
        </is>
      </c>
      <c r="D12" t="inlineStr">
        <is>
          <t>South</t>
        </is>
      </c>
      <c r="E12" t="inlineStr">
        <is>
          <t>Gizmo</t>
        </is>
      </c>
      <c r="F12" t="n">
        <v>14</v>
      </c>
      <c r="G12" t="n">
        <v>7.25</v>
      </c>
      <c r="H12">
        <f>F12*G12</f>
        <v/>
      </c>
    </row>
    <row r="13">
      <c r="A13" t="n">
        <v>1012</v>
      </c>
      <c r="B13" s="2" t="n">
        <v>46111</v>
      </c>
      <c r="C13" t="inlineStr">
        <is>
          <t>Hooli</t>
        </is>
      </c>
      <c r="D13" t="inlineStr">
        <is>
          <t>West</t>
        </is>
      </c>
      <c r="E13" t="inlineStr">
        <is>
          <t>Widget</t>
        </is>
      </c>
      <c r="F13" t="n">
        <v>40</v>
      </c>
      <c r="G13" t="n">
        <v>2.5</v>
      </c>
      <c r="H13">
        <f>F13*G13</f>
        <v/>
      </c>
    </row>
    <row r="14">
      <c r="A14" t="n">
        <v>1013</v>
      </c>
      <c r="B14" s="2" t="n">
        <v>46114</v>
      </c>
      <c r="C14" t="inlineStr">
        <is>
          <t>Wayne Enterprises</t>
        </is>
      </c>
      <c r="E14" t="inlineStr">
        <is>
          <t>Doohickey</t>
        </is>
      </c>
      <c r="F14" t="n">
        <v>10</v>
      </c>
      <c r="G14" t="n">
        <v>45</v>
      </c>
      <c r="H14">
        <f>F14*G14</f>
        <v/>
      </c>
    </row>
    <row r="15">
      <c r="A15" t="n">
        <v>1014</v>
      </c>
      <c r="B15" s="2" t="n">
        <v>46121</v>
      </c>
      <c r="C15" t="inlineStr">
        <is>
          <t>Globex</t>
        </is>
      </c>
      <c r="D15" t="inlineStr">
        <is>
          <t>East</t>
        </is>
      </c>
      <c r="E15" t="inlineStr">
        <is>
          <t>Widget</t>
        </is>
      </c>
      <c r="F15" t="n">
        <v>75</v>
      </c>
      <c r="G15" t="n">
        <v>2.5</v>
      </c>
      <c r="H15">
        <f>F15*G15</f>
        <v/>
      </c>
    </row>
    <row r="16">
      <c r="A16" t="n">
        <v>1015</v>
      </c>
      <c r="B16" s="2" t="n">
        <v>46128</v>
      </c>
      <c r="C16" t="inlineStr">
        <is>
          <t>Stark Industries</t>
        </is>
      </c>
      <c r="D16" t="inlineStr">
        <is>
          <t>East</t>
        </is>
      </c>
      <c r="E16" t="inlineStr">
        <is>
          <t>Doohickey</t>
        </is>
      </c>
      <c r="F16" t="n">
        <v>18</v>
      </c>
      <c r="G16" t="n">
        <v>45</v>
      </c>
      <c r="H16">
        <f>F16*G16</f>
        <v/>
      </c>
    </row>
    <row r="17">
      <c r="A17" t="n">
        <v>1016</v>
      </c>
      <c r="B17" s="2" t="n">
        <v>46135</v>
      </c>
      <c r="C17" t="inlineStr">
        <is>
          <t>Initech</t>
        </is>
      </c>
      <c r="D17" t="inlineStr">
        <is>
          <t>North</t>
        </is>
      </c>
      <c r="E17" t="inlineStr">
        <is>
          <t>Gadget</t>
        </is>
      </c>
      <c r="F17" t="n">
        <v>9</v>
      </c>
      <c r="G17" t="n">
        <v>19.99</v>
      </c>
      <c r="H17">
        <f>F17*G17</f>
        <v/>
      </c>
    </row>
    <row r="18">
      <c r="A18" t="n">
        <v>1017</v>
      </c>
      <c r="B18" s="2" t="n">
        <v>46143</v>
      </c>
      <c r="C18" t="inlineStr">
        <is>
          <t>Acme Corp</t>
        </is>
      </c>
      <c r="D18" t="inlineStr">
        <is>
          <t>West</t>
        </is>
      </c>
      <c r="E18" t="inlineStr">
        <is>
          <t>Gizmo</t>
        </is>
      </c>
      <c r="F18" t="n">
        <v>22</v>
      </c>
      <c r="G18" t="n">
        <v>7.25</v>
      </c>
      <c r="H18">
        <f>F18*G18</f>
        <v/>
      </c>
    </row>
    <row r="19">
      <c r="A19" t="n">
        <v>1018</v>
      </c>
      <c r="B19" s="2" t="n">
        <v>46150</v>
      </c>
      <c r="C19" t="inlineStr">
        <is>
          <t>Umbrella</t>
        </is>
      </c>
      <c r="D19" t="inlineStr">
        <is>
          <t>South</t>
        </is>
      </c>
      <c r="E19" t="inlineStr">
        <is>
          <t>Gadget</t>
        </is>
      </c>
      <c r="F19" t="n">
        <v>2</v>
      </c>
      <c r="G19" t="n">
        <v>19.99</v>
      </c>
      <c r="H19">
        <f>F19*G19</f>
        <v/>
      </c>
    </row>
    <row r="20">
      <c r="A20" t="n">
        <v>1019</v>
      </c>
      <c r="B20" s="2" t="n">
        <v>46157</v>
      </c>
      <c r="C20" t="inlineStr">
        <is>
          <t>Wayne Enterprises</t>
        </is>
      </c>
      <c r="D20" t="inlineStr">
        <is>
          <t>North</t>
        </is>
      </c>
      <c r="E20" t="inlineStr">
        <is>
          <t>Widget</t>
        </is>
      </c>
      <c r="F20" t="n">
        <v>60</v>
      </c>
      <c r="G20" t="n">
        <v>2.5</v>
      </c>
      <c r="H20">
        <f>F20*G20</f>
        <v/>
      </c>
    </row>
    <row r="21">
      <c r="A21" t="n">
        <v>1020</v>
      </c>
      <c r="B21" s="2" t="n">
        <v>46164</v>
      </c>
      <c r="C21" t="inlineStr">
        <is>
          <t>Hooli</t>
        </is>
      </c>
      <c r="D21" t="inlineStr">
        <is>
          <t>West</t>
        </is>
      </c>
      <c r="E21" t="inlineStr">
        <is>
          <t>Doohickey</t>
        </is>
      </c>
      <c r="F21" t="n">
        <v>5</v>
      </c>
      <c r="G21" t="n">
        <v>45</v>
      </c>
      <c r="H21">
        <f>F21*G21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Email</t>
        </is>
      </c>
      <c r="C1" s="1" t="inlineStr">
        <is>
          <t>Region</t>
        </is>
      </c>
      <c r="D1" s="1" t="inlineStr">
        <is>
          <t>Customer Since</t>
        </is>
      </c>
      <c r="E1" s="1" t="inlineStr">
        <is>
          <t>Active</t>
        </is>
      </c>
    </row>
    <row r="2">
      <c r="A2" t="inlineStr">
        <is>
          <t>Acme Corp</t>
        </is>
      </c>
      <c r="B2" t="inlineStr">
        <is>
          <t>orders@acme.example</t>
        </is>
      </c>
      <c r="C2" t="inlineStr">
        <is>
          <t>West</t>
        </is>
      </c>
      <c r="D2" s="2" t="n">
        <v>44269</v>
      </c>
      <c r="E2" t="b">
        <v>1</v>
      </c>
    </row>
    <row r="3">
      <c r="A3" t="inlineStr">
        <is>
          <t>Globex</t>
        </is>
      </c>
      <c r="B3" t="inlineStr">
        <is>
          <t>buying@globex.example</t>
        </is>
      </c>
      <c r="C3" t="inlineStr">
        <is>
          <t>East</t>
        </is>
      </c>
      <c r="D3" s="2" t="n">
        <v>44743</v>
      </c>
      <c r="E3" t="b">
        <v>1</v>
      </c>
    </row>
    <row r="4">
      <c r="A4" t="inlineStr">
        <is>
          <t>Initech</t>
        </is>
      </c>
      <c r="B4" t="inlineStr">
        <is>
          <t>tps@initech.example</t>
        </is>
      </c>
      <c r="C4" t="inlineStr">
        <is>
          <t>North</t>
        </is>
      </c>
      <c r="D4" s="2" t="n">
        <v>43789</v>
      </c>
      <c r="E4" t="b">
        <v>0</v>
      </c>
    </row>
    <row r="5">
      <c r="A5" t="inlineStr">
        <is>
          <t>Umbrella</t>
        </is>
      </c>
      <c r="B5" t="inlineStr">
        <is>
          <t>procurement@umbrella.example</t>
        </is>
      </c>
      <c r="C5" t="inlineStr">
        <is>
          <t>South</t>
        </is>
      </c>
      <c r="D5" s="2" t="n">
        <v>44935</v>
      </c>
      <c r="E5" t="b">
        <v>1</v>
      </c>
    </row>
    <row r="6">
      <c r="A6" t="inlineStr">
        <is>
          <t>Hooli</t>
        </is>
      </c>
      <c r="C6" t="inlineStr">
        <is>
          <t>West</t>
        </is>
      </c>
      <c r="D6" s="2" t="n">
        <v>45442</v>
      </c>
      <c r="E6" t="b">
        <v>0</v>
      </c>
    </row>
    <row r="7">
      <c r="A7" t="inlineStr">
        <is>
          <t>Stark Industries</t>
        </is>
      </c>
      <c r="B7" t="inlineStr">
        <is>
          <t>supply@stark.example</t>
        </is>
      </c>
      <c r="C7" t="inlineStr">
        <is>
          <t>East</t>
        </is>
      </c>
      <c r="D7" s="2" t="n">
        <v>44076</v>
      </c>
      <c r="E7" t="b">
        <v>1</v>
      </c>
    </row>
    <row r="8">
      <c r="A8" t="inlineStr">
        <is>
          <t>Wayne Enterprises</t>
        </is>
      </c>
      <c r="B8" t="inlineStr">
        <is>
          <t>purchasing@wayne.example</t>
        </is>
      </c>
      <c r="C8" t="inlineStr">
        <is>
          <t>North</t>
        </is>
      </c>
      <c r="D8" s="2" t="n">
        <v>45705</v>
      </c>
      <c r="E8" t="b">
        <v>1</v>
      </c>
    </row>
    <row r="9">
      <c r="A9" t="inlineStr">
        <is>
          <t>Soylent</t>
        </is>
      </c>
      <c r="B9" t="inlineStr">
        <is>
          <t>hello@soylent.example</t>
        </is>
      </c>
      <c r="C9" t="inlineStr">
        <is>
          <t>South</t>
        </is>
      </c>
      <c r="D9" s="2" t="n">
        <v>46027</v>
      </c>
      <c r="E9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Total</t>
        </is>
      </c>
      <c r="E1" s="1" t="inlineStr">
        <is>
          <t>Over Limit?</t>
        </is>
      </c>
    </row>
    <row r="2">
      <c r="A2" t="inlineStr">
        <is>
          <t>Marketing</t>
        </is>
      </c>
      <c r="B2" t="n">
        <v>12000</v>
      </c>
      <c r="C2" t="n">
        <v>15500</v>
      </c>
      <c r="D2">
        <f>SUM(B2:C2)</f>
        <v/>
      </c>
      <c r="E2">
        <f>IF(D2&gt;20000,"Yes","No")</f>
        <v/>
      </c>
    </row>
    <row r="3">
      <c r="A3" t="inlineStr">
        <is>
          <t>Payroll</t>
        </is>
      </c>
      <c r="B3" t="n">
        <v>88000</v>
      </c>
      <c r="C3" t="n">
        <v>91000</v>
      </c>
      <c r="D3">
        <f>SUM(B3:C3)</f>
        <v/>
      </c>
      <c r="E3">
        <f>IF(D3&gt;20000,"Yes","No")</f>
        <v/>
      </c>
    </row>
    <row r="4">
      <c r="A4" t="inlineStr">
        <is>
          <t>Software</t>
        </is>
      </c>
      <c r="B4" t="n">
        <v>4200</v>
      </c>
      <c r="C4" t="n">
        <v>3900</v>
      </c>
      <c r="D4">
        <f>SUM(B4:C4)</f>
        <v/>
      </c>
      <c r="E4">
        <f>IF(D4&gt;20000,"Yes","No")</f>
        <v/>
      </c>
    </row>
    <row r="5">
      <c r="A5" t="inlineStr">
        <is>
          <t>Travel</t>
        </is>
      </c>
      <c r="B5" t="n">
        <v>6500</v>
      </c>
      <c r="C5" t="n">
        <v>8100</v>
      </c>
      <c r="D5">
        <f>SUM(B5:C5)</f>
        <v/>
      </c>
      <c r="E5">
        <f>IF(D5&gt;20000,"Yes","No")</f>
        <v/>
      </c>
    </row>
    <row r="6">
      <c r="A6" t="inlineStr">
        <is>
          <t>Grand Total</t>
        </is>
      </c>
      <c r="B6">
        <f>SUM(B2:B5)</f>
        <v/>
      </c>
      <c r="C6">
        <f>SUM(C2:C5)</f>
        <v/>
      </c>
      <c r="D6">
        <f>SUM(D2:D5)</f>
        <v/>
      </c>
    </row>
    <row r="7">
      <c r="A7" t="inlineStr">
        <is>
          <t>Average</t>
        </is>
      </c>
      <c r="B7">
        <f>AVERAGE(B2:B5)</f>
        <v/>
      </c>
      <c r="C7">
        <f>AVERAGE(C2:C5)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Q2 planning notes</t>
        </is>
      </c>
    </row>
    <row r="3">
      <c r="A3" t="inlineStr">
        <is>
          <t>Acme Corp asked for a volume discount on Widgets.</t>
        </is>
      </c>
    </row>
    <row r="4">
      <c r="A4" t="inlineStr">
        <is>
          <t>Globex contract renewal due 2026-06-30.</t>
        </is>
      </c>
    </row>
    <row r="5">
      <c r="A5" t="inlineStr">
        <is>
          <t>Invoice INV-2026-0042 disputed by Hooli.</t>
        </is>
      </c>
    </row>
    <row r="7">
      <c r="C7" t="n">
        <v>1005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2026-09-27T21:51:53Z</dcterms:created>
  <dcterms:modified xsi:type="dcterms:W3CDTF">2026-09-27T21:51:53Z</dcterms:modified>
</cp:coreProperties>
</file>